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Manual Data" sheetId="2" r:id="rId6"/>
    <sheet state="visible" name="Automated Data" sheetId="3" r:id="rId7"/>
    <sheet state="visible" name="Summary Chart" sheetId="4" r:id="rId8"/>
  </sheets>
  <definedNames/>
  <calcPr/>
</workbook>
</file>

<file path=xl/sharedStrings.xml><?xml version="1.0" encoding="utf-8"?>
<sst xmlns="http://schemas.openxmlformats.org/spreadsheetml/2006/main" count="34" uniqueCount="26">
  <si>
    <t>Condition</t>
  </si>
  <si>
    <t>Measured</t>
  </si>
  <si>
    <t>Sampled with ADC</t>
  </si>
  <si>
    <t xml:space="preserve">Condition </t>
  </si>
  <si>
    <t>Average</t>
  </si>
  <si>
    <t>Time (s)</t>
  </si>
  <si>
    <t>Sample 1 (V)</t>
  </si>
  <si>
    <t>Standard Deviation</t>
  </si>
  <si>
    <t>ADC</t>
  </si>
  <si>
    <t xml:space="preserve">Average </t>
  </si>
  <si>
    <t>Sample 2 (V)</t>
  </si>
  <si>
    <t>Voltage (V)</t>
  </si>
  <si>
    <t>Sample 3 (V)</t>
  </si>
  <si>
    <t>Completely Dry</t>
  </si>
  <si>
    <t>Dry</t>
  </si>
  <si>
    <t xml:space="preserve">Blowing on it </t>
  </si>
  <si>
    <t>Half Wiped</t>
  </si>
  <si>
    <t>Fully wiped</t>
  </si>
  <si>
    <t>Wipe stay on surface</t>
  </si>
  <si>
    <t>Blowing on it</t>
  </si>
  <si>
    <t>Blowing</t>
  </si>
  <si>
    <t>Half wiped down with the Wet Wipe</t>
  </si>
  <si>
    <t>Entire Surface Wiped</t>
  </si>
  <si>
    <t>Wipe on Entire Surface</t>
  </si>
  <si>
    <t>Full Wiped</t>
  </si>
  <si>
    <t>Wipe on 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</si>
</sst>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0" fontId="3" numFmtId="0" xfId="0" applyAlignment="1" applyFont="1">
      <alignment vertical="top"/>
    </xf>
    <xf borderId="0" fillId="2" fontId="4" numFmtId="0" xfId="0" applyFill="1" applyFont="1"/>
    <xf borderId="0" fillId="0" fontId="3" numFmtId="0" xfId="0" applyAlignment="1" applyFont="1">
      <alignment horizontal="right" vertical="top"/>
    </xf>
    <xf borderId="0" fillId="3" fontId="2" numFmtId="0" xfId="0" applyAlignment="1" applyFill="1" applyFont="1">
      <alignment readingOrder="0"/>
    </xf>
    <xf borderId="0" fillId="3" fontId="4" numFmtId="0" xfId="0" applyFill="1" applyFont="1"/>
    <xf borderId="0" fillId="3" fontId="4" numFmtId="0" xfId="0" applyAlignment="1" applyFill="1" applyFont="1">
      <alignment readingOrder="0"/>
    </xf>
    <xf borderId="0" fillId="0" fontId="3" numFmtId="0" xfId="0" applyAlignment="1" applyFont="1">
      <alignment horizontal="right" readingOrder="0" vertical="bottom"/>
    </xf>
    <xf borderId="0" fillId="4" fontId="2" numFmtId="0" xfId="0" applyAlignment="1" applyFill="1" applyFont="1">
      <alignment readingOrder="0"/>
    </xf>
    <xf borderId="0" fillId="4" fontId="4" numFmtId="0" xfId="0" applyFill="1" applyFont="1"/>
    <xf borderId="0" fillId="4" fontId="4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5" fontId="4" numFmtId="0" xfId="0" applyFill="1" applyFont="1"/>
    <xf borderId="0" fillId="5" fontId="4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6" fontId="4" numFmtId="0" xfId="0" applyFill="1" applyFont="1"/>
    <xf borderId="0" fillId="6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Voltage Versus Wetness of Sensor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'Summary Data'!$B$1:$B$2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Average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Data'!$B$3:$B$7</c:f>
              <c:numCache/>
            </c:numRef>
          </c:yVal>
        </c:ser>
        <c:ser>
          <c:idx val="1"/>
          <c:order val="1"/>
          <c:tx>
            <c:strRef>
              <c:f>'Summary Data'!$C$1:$C$2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Trendline for Standard Deviation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Data'!$C$3:$C$7</c:f>
              <c:numCache/>
            </c:numRef>
          </c:yVal>
        </c:ser>
        <c:ser>
          <c:idx val="2"/>
          <c:order val="2"/>
          <c:tx>
            <c:strRef>
              <c:f>'Summary Data'!$D$1:$D$2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Trendline for Average 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Data'!$D$3:$D$7</c:f>
              <c:numCache/>
            </c:numRef>
          </c:yVal>
        </c:ser>
        <c:ser>
          <c:idx val="3"/>
          <c:order val="3"/>
          <c:tx>
            <c:strRef>
              <c:f>'Summary Data'!$E$1:$E$2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>Trendline for Standard Deviation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Data'!$E$3:$E$7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273909"/>
        <c:axId val="1473186834"/>
      </c:scatterChart>
      <c:valAx>
        <c:axId val="3782739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Wetness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186834"/>
      </c:valAx>
      <c:valAx>
        <c:axId val="1473186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2739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</row>
    <row r="2">
      <c r="B2" s="3" t="s">
        <v>4</v>
      </c>
      <c r="C2" s="3" t="s">
        <v>7</v>
      </c>
      <c r="D2" s="3" t="s">
        <v>9</v>
      </c>
      <c r="E2" s="3" t="s">
        <v>7</v>
      </c>
    </row>
    <row r="3">
      <c r="A3" s="3" t="s">
        <v>13</v>
      </c>
      <c r="B3" s="7">
        <f>AVERAGE('Manual Data'!B2:D2)</f>
        <v>3.293333333</v>
      </c>
      <c r="C3" s="7">
        <f>STDEV('Manual Data'!B2:D2)</f>
        <v>0.0005773502692</v>
      </c>
      <c r="D3" s="9">
        <v>3.3</v>
      </c>
      <c r="E3" s="9">
        <v>0.0</v>
      </c>
    </row>
    <row r="4">
      <c r="A4" s="3" t="s">
        <v>19</v>
      </c>
      <c r="B4" s="7">
        <f>'Manual Data'!B3:D3</f>
        <v>3.293</v>
      </c>
      <c r="C4" s="7">
        <f>STDEV('Manual Data'!B3:D3)</f>
        <v>0.1031956071</v>
      </c>
      <c r="D4" s="9">
        <f>AVERAGE('Automated Data'!C15:C24)</f>
        <v>2.389357143</v>
      </c>
      <c r="E4" s="13">
        <f>STDEV('Automated Data'!C15:C24)</f>
        <v>0.5383107038</v>
      </c>
    </row>
    <row r="5">
      <c r="A5" s="3" t="s">
        <v>21</v>
      </c>
      <c r="B5" s="7">
        <f>AVERAGE('Manual Data'!B4:D4)</f>
        <v>2.228</v>
      </c>
      <c r="C5" s="7">
        <f>STDEV('Manual Data'!B4:D4)</f>
        <v>0.6177410461</v>
      </c>
      <c r="D5" s="9">
        <f>AVERAGE('Automated Data'!C28:C37)</f>
        <v>1.6869</v>
      </c>
      <c r="E5" s="9">
        <f>STDEV('Automated Data'!C28:C37)</f>
        <v>0.5476467738</v>
      </c>
    </row>
    <row r="6">
      <c r="A6" s="3" t="s">
        <v>22</v>
      </c>
      <c r="B6" s="7">
        <f>AVERAGE('Manual Data'!B5:D5)</f>
        <v>1.238</v>
      </c>
      <c r="C6" s="7">
        <f>STDEV('Manual Data'!B5:D5)</f>
        <v>0.4229231609</v>
      </c>
      <c r="D6" s="9">
        <f>AVERAGE('Automated Data'!C41:C50)</f>
        <v>0.9095</v>
      </c>
      <c r="E6" s="9">
        <f>STDEV('Automated Data'!C41:C50)</f>
        <v>0.1999156767</v>
      </c>
    </row>
    <row r="7">
      <c r="A7" s="3" t="s">
        <v>23</v>
      </c>
      <c r="B7" s="7">
        <f>AVERAGE('Manual Data'!B6:D6)</f>
        <v>0.9854</v>
      </c>
      <c r="C7" s="7">
        <f>STDEV('Manual Data'!B6:D6)</f>
        <v>0.3873838923</v>
      </c>
      <c r="D7" s="9">
        <f>AVERAGE('Automated Data'!C54:C63)</f>
        <v>0.469</v>
      </c>
      <c r="E7" s="9">
        <f>STDEV('Automated Data'!C54:C63)</f>
        <v>0.01404753834</v>
      </c>
    </row>
  </sheetData>
  <mergeCells count="3">
    <mergeCell ref="A1:A2"/>
    <mergeCell ref="B1:C1"/>
    <mergeCell ref="D1:E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2" t="s">
        <v>3</v>
      </c>
      <c r="B1" s="2" t="s">
        <v>6</v>
      </c>
      <c r="C1" s="2" t="s">
        <v>10</v>
      </c>
      <c r="D1" s="2" t="s">
        <v>12</v>
      </c>
    </row>
    <row r="2">
      <c r="A2" s="4" t="s">
        <v>13</v>
      </c>
      <c r="B2" s="4">
        <v>3.294</v>
      </c>
      <c r="C2" s="4">
        <v>3.293</v>
      </c>
      <c r="D2" s="4">
        <v>3.293</v>
      </c>
    </row>
    <row r="3">
      <c r="A3" s="4" t="s">
        <v>15</v>
      </c>
      <c r="B3" s="4">
        <v>3.293</v>
      </c>
      <c r="C3" s="4">
        <v>3.179</v>
      </c>
      <c r="D3" s="4">
        <v>3.087</v>
      </c>
    </row>
    <row r="4">
      <c r="A4" s="4" t="s">
        <v>16</v>
      </c>
      <c r="B4" s="4">
        <v>2.75</v>
      </c>
      <c r="C4" s="4">
        <v>2.388</v>
      </c>
      <c r="D4" s="4">
        <v>1.546</v>
      </c>
    </row>
    <row r="5">
      <c r="A5" s="4" t="s">
        <v>17</v>
      </c>
      <c r="B5" s="4">
        <v>1.61</v>
      </c>
      <c r="C5" s="4">
        <v>1.326</v>
      </c>
      <c r="D5" s="4">
        <v>0.778</v>
      </c>
    </row>
    <row r="6">
      <c r="A6" s="4" t="s">
        <v>18</v>
      </c>
      <c r="B6" s="4">
        <v>1.416</v>
      </c>
      <c r="C6" s="4">
        <v>0.875</v>
      </c>
      <c r="D6" s="4">
        <v>0.6652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</v>
      </c>
      <c r="B1" s="2" t="s">
        <v>8</v>
      </c>
      <c r="C1" s="2" t="s">
        <v>11</v>
      </c>
    </row>
    <row r="2">
      <c r="A2" s="5" t="s">
        <v>14</v>
      </c>
      <c r="B2" s="6"/>
      <c r="C2" s="6"/>
    </row>
    <row r="3">
      <c r="A3" s="6">
        <v>1090.0</v>
      </c>
      <c r="B3" s="6">
        <v>4095.0</v>
      </c>
      <c r="C3" s="6">
        <v>3.3</v>
      </c>
    </row>
    <row r="4">
      <c r="A4" s="6">
        <v>2190.0</v>
      </c>
      <c r="B4" s="6">
        <v>4095.0</v>
      </c>
      <c r="C4" s="6">
        <v>3.3</v>
      </c>
    </row>
    <row r="5">
      <c r="A5" s="6">
        <v>3290.0</v>
      </c>
      <c r="B5" s="6">
        <v>4095.0</v>
      </c>
      <c r="C5" s="6">
        <v>3.3</v>
      </c>
    </row>
    <row r="6">
      <c r="A6" s="6">
        <v>4390.0</v>
      </c>
      <c r="B6" s="6">
        <v>4095.0</v>
      </c>
      <c r="C6" s="6">
        <v>3.3</v>
      </c>
    </row>
    <row r="7">
      <c r="A7" s="6">
        <v>5490.0</v>
      </c>
      <c r="B7" s="6">
        <v>4095.0</v>
      </c>
      <c r="C7" s="6">
        <v>3.3</v>
      </c>
    </row>
    <row r="8">
      <c r="A8" s="6">
        <v>6590.0</v>
      </c>
      <c r="B8" s="6">
        <v>4095.0</v>
      </c>
      <c r="C8" s="6">
        <v>3.3</v>
      </c>
    </row>
    <row r="9">
      <c r="A9" s="6">
        <v>7690.0</v>
      </c>
      <c r="B9" s="6">
        <v>4095.0</v>
      </c>
      <c r="C9" s="6">
        <v>3.3</v>
      </c>
    </row>
    <row r="10">
      <c r="A10" s="6">
        <v>8790.0</v>
      </c>
      <c r="B10" s="6">
        <v>4095.0</v>
      </c>
      <c r="C10" s="6">
        <v>3.3</v>
      </c>
    </row>
    <row r="11">
      <c r="A11" s="6">
        <v>9890.0</v>
      </c>
      <c r="B11" s="6">
        <v>4095.0</v>
      </c>
      <c r="C11" s="6">
        <v>3.3</v>
      </c>
    </row>
    <row r="12">
      <c r="A12" s="8"/>
      <c r="B12" s="8"/>
      <c r="C12" s="8">
        <f>AVERAGE(C3:C11)</f>
        <v>3.3</v>
      </c>
      <c r="D12" s="4" t="s">
        <v>4</v>
      </c>
    </row>
    <row r="13">
      <c r="A13" s="6"/>
      <c r="B13" s="8"/>
      <c r="C13" s="8"/>
    </row>
    <row r="14">
      <c r="A14" s="10" t="s">
        <v>20</v>
      </c>
      <c r="B14" s="11"/>
      <c r="C14" s="11"/>
    </row>
    <row r="15">
      <c r="A15" s="12">
        <v>1.0</v>
      </c>
      <c r="B15" s="12">
        <v>2089.0</v>
      </c>
      <c r="C15" s="12">
        <v>1.683</v>
      </c>
    </row>
    <row r="16">
      <c r="A16" s="12">
        <v>1090.0</v>
      </c>
      <c r="B16" s="12">
        <v>2079.0</v>
      </c>
      <c r="C16" s="12">
        <v>1.675</v>
      </c>
    </row>
    <row r="17">
      <c r="A17" s="12">
        <v>2190.0</v>
      </c>
      <c r="B17" s="12">
        <v>2390.0</v>
      </c>
      <c r="C17" s="12">
        <v>1.926</v>
      </c>
    </row>
    <row r="18">
      <c r="A18" s="12">
        <v>3290.0</v>
      </c>
      <c r="B18" s="12">
        <v>2791.0</v>
      </c>
      <c r="C18" s="12">
        <v>2.249</v>
      </c>
    </row>
    <row r="19">
      <c r="A19" s="12">
        <v>4390.0</v>
      </c>
      <c r="B19" s="12">
        <v>3511.0</v>
      </c>
      <c r="C19" s="12">
        <v>2.829</v>
      </c>
    </row>
    <row r="20">
      <c r="A20" s="12">
        <v>5490.0</v>
      </c>
      <c r="B20" s="12">
        <v>2543.0</v>
      </c>
      <c r="C20" s="12">
        <v>2.049</v>
      </c>
    </row>
    <row r="21">
      <c r="A21" s="12">
        <v>6600.0</v>
      </c>
      <c r="B21" s="12">
        <v>2255.0</v>
      </c>
      <c r="C21" s="12">
        <v>2.63</v>
      </c>
    </row>
    <row r="22">
      <c r="A22" s="12">
        <v>7700.0</v>
      </c>
      <c r="B22" s="12">
        <v>2251.0</v>
      </c>
      <c r="C22" s="12">
        <v>2.79042857142857</v>
      </c>
    </row>
    <row r="23">
      <c r="A23" s="12">
        <v>8800.0</v>
      </c>
      <c r="B23" s="12">
        <v>2416.0</v>
      </c>
      <c r="C23" s="12">
        <v>2.95085714285714</v>
      </c>
    </row>
    <row r="24">
      <c r="A24" s="12">
        <v>9910.0</v>
      </c>
      <c r="B24" s="12">
        <v>2293.0</v>
      </c>
      <c r="C24" s="12">
        <v>3.11128571428571</v>
      </c>
    </row>
    <row r="25">
      <c r="A25" s="11"/>
      <c r="B25" s="11"/>
      <c r="C25" s="11">
        <f>AVERAGE(C15:C24)</f>
        <v>2.389357143</v>
      </c>
      <c r="D25" s="4" t="s">
        <v>4</v>
      </c>
    </row>
    <row r="26">
      <c r="A26" s="12"/>
      <c r="B26" s="11"/>
      <c r="C26" s="11"/>
    </row>
    <row r="27">
      <c r="A27" s="14" t="s">
        <v>16</v>
      </c>
      <c r="B27" s="15"/>
      <c r="C27" s="15"/>
    </row>
    <row r="28">
      <c r="A28" s="16">
        <v>0.0</v>
      </c>
      <c r="B28" s="16">
        <v>2911.0</v>
      </c>
      <c r="C28" s="16">
        <v>2.346</v>
      </c>
    </row>
    <row r="29">
      <c r="A29" s="16">
        <v>1100.0</v>
      </c>
      <c r="B29" s="16">
        <v>751.0</v>
      </c>
      <c r="C29" s="16">
        <v>0.605</v>
      </c>
    </row>
    <row r="30">
      <c r="A30" s="16">
        <v>2200.0</v>
      </c>
      <c r="B30" s="16">
        <v>1568.0</v>
      </c>
      <c r="C30" s="16">
        <v>1.264</v>
      </c>
    </row>
    <row r="31">
      <c r="A31" s="16">
        <v>3300.0</v>
      </c>
      <c r="B31" s="16">
        <v>1721.0</v>
      </c>
      <c r="C31" s="16">
        <v>1.387</v>
      </c>
    </row>
    <row r="32">
      <c r="A32" s="16">
        <v>4400.0</v>
      </c>
      <c r="B32" s="16">
        <v>1828.0</v>
      </c>
      <c r="C32" s="16">
        <v>1.473</v>
      </c>
    </row>
    <row r="33">
      <c r="A33" s="16">
        <v>5500.0</v>
      </c>
      <c r="B33" s="16">
        <v>1957.0</v>
      </c>
      <c r="C33" s="16">
        <v>1.577</v>
      </c>
    </row>
    <row r="34">
      <c r="A34" s="16">
        <v>6600.0</v>
      </c>
      <c r="B34" s="16">
        <v>2149.0</v>
      </c>
      <c r="C34" s="16">
        <v>1.732</v>
      </c>
    </row>
    <row r="35">
      <c r="A35" s="16">
        <v>7700.0</v>
      </c>
      <c r="B35" s="16">
        <v>2419.0</v>
      </c>
      <c r="C35" s="16">
        <v>1.949</v>
      </c>
    </row>
    <row r="36">
      <c r="A36" s="16">
        <v>8800.0</v>
      </c>
      <c r="B36" s="16">
        <v>2685.0</v>
      </c>
      <c r="C36" s="16">
        <v>2.164</v>
      </c>
    </row>
    <row r="37">
      <c r="A37" s="16">
        <v>9900.0</v>
      </c>
      <c r="B37" s="16">
        <v>2943.0</v>
      </c>
      <c r="C37" s="16">
        <v>2.372</v>
      </c>
    </row>
    <row r="38">
      <c r="A38" s="15"/>
      <c r="B38" s="15"/>
      <c r="C38" s="15">
        <f>AVERAGE(C28:C37)</f>
        <v>1.6869</v>
      </c>
      <c r="D38" s="4" t="s">
        <v>4</v>
      </c>
    </row>
    <row r="39">
      <c r="A39" s="16"/>
      <c r="B39" s="15"/>
      <c r="C39" s="15"/>
    </row>
    <row r="40">
      <c r="A40" s="17" t="s">
        <v>24</v>
      </c>
      <c r="B40" s="18"/>
      <c r="C40" s="18"/>
    </row>
    <row r="41">
      <c r="A41" s="19">
        <v>0.0</v>
      </c>
      <c r="B41" s="19">
        <v>511.0</v>
      </c>
      <c r="C41" s="19">
        <v>0.412</v>
      </c>
    </row>
    <row r="42">
      <c r="A42" s="19">
        <v>1100.0</v>
      </c>
      <c r="B42" s="19">
        <v>1011.0</v>
      </c>
      <c r="C42" s="19">
        <v>0.815</v>
      </c>
    </row>
    <row r="43">
      <c r="A43" s="19">
        <v>2200.0</v>
      </c>
      <c r="B43" s="19">
        <v>1096.0</v>
      </c>
      <c r="C43" s="19">
        <v>0.883</v>
      </c>
    </row>
    <row r="44">
      <c r="A44" s="19">
        <v>3300.0</v>
      </c>
      <c r="B44" s="19">
        <v>1124.0</v>
      </c>
      <c r="C44" s="19">
        <v>0.906</v>
      </c>
    </row>
    <row r="45">
      <c r="A45" s="19">
        <v>4400.0</v>
      </c>
      <c r="B45" s="19">
        <v>1144.0</v>
      </c>
      <c r="C45" s="19">
        <v>0.922</v>
      </c>
    </row>
    <row r="46">
      <c r="A46" s="19">
        <v>5500.0</v>
      </c>
      <c r="B46" s="19">
        <v>1165.0</v>
      </c>
      <c r="C46" s="19">
        <v>0.939</v>
      </c>
    </row>
    <row r="47">
      <c r="A47" s="19">
        <v>6600.0</v>
      </c>
      <c r="B47" s="19">
        <v>1207.0</v>
      </c>
      <c r="C47" s="19">
        <v>0.973</v>
      </c>
    </row>
    <row r="48">
      <c r="A48" s="19">
        <v>7700.0</v>
      </c>
      <c r="B48" s="19">
        <v>1267.0</v>
      </c>
      <c r="C48" s="19">
        <v>1.021</v>
      </c>
    </row>
    <row r="49">
      <c r="A49" s="19">
        <v>8810.0</v>
      </c>
      <c r="B49" s="19">
        <v>1331.0</v>
      </c>
      <c r="C49" s="19">
        <v>1.073</v>
      </c>
    </row>
    <row r="50">
      <c r="A50" s="19">
        <v>9910.0</v>
      </c>
      <c r="B50" s="19">
        <v>1428.0</v>
      </c>
      <c r="C50" s="19">
        <v>1.151</v>
      </c>
    </row>
    <row r="51">
      <c r="A51" s="18"/>
      <c r="B51" s="18"/>
      <c r="C51" s="18">
        <f>AVERAGE(C41:C50)</f>
        <v>0.9095</v>
      </c>
      <c r="D51" s="4" t="s">
        <v>4</v>
      </c>
    </row>
    <row r="52">
      <c r="A52" s="19"/>
      <c r="B52" s="18"/>
      <c r="C52" s="18"/>
    </row>
    <row r="53">
      <c r="A53" s="20" t="s">
        <v>25</v>
      </c>
      <c r="B53" s="21"/>
      <c r="C53" s="21"/>
    </row>
    <row r="54">
      <c r="A54" s="22">
        <v>1.0</v>
      </c>
      <c r="B54" s="22">
        <v>614.0</v>
      </c>
      <c r="C54" s="22">
        <v>0.495</v>
      </c>
    </row>
    <row r="55">
      <c r="A55" s="22">
        <v>1100.0</v>
      </c>
      <c r="B55" s="22">
        <v>612.0</v>
      </c>
      <c r="C55" s="22">
        <v>0.493</v>
      </c>
    </row>
    <row r="56">
      <c r="A56" s="22">
        <v>2200.0</v>
      </c>
      <c r="B56" s="22">
        <v>588.0</v>
      </c>
      <c r="C56" s="22">
        <v>0.474</v>
      </c>
    </row>
    <row r="57">
      <c r="A57" s="22">
        <v>3300.0</v>
      </c>
      <c r="B57" s="22">
        <v>579.0</v>
      </c>
      <c r="C57" s="22">
        <v>0.467</v>
      </c>
    </row>
    <row r="58">
      <c r="A58" s="22">
        <v>4400.0</v>
      </c>
      <c r="B58" s="22">
        <v>576.0</v>
      </c>
      <c r="C58" s="22">
        <v>0.464</v>
      </c>
    </row>
    <row r="59">
      <c r="A59" s="22">
        <v>5500.0</v>
      </c>
      <c r="B59" s="22">
        <v>571.0</v>
      </c>
      <c r="C59" s="22">
        <v>0.46</v>
      </c>
    </row>
    <row r="60">
      <c r="A60" s="22">
        <v>6600.0</v>
      </c>
      <c r="B60" s="22">
        <v>570.0</v>
      </c>
      <c r="C60" s="22">
        <v>0.459</v>
      </c>
    </row>
    <row r="61">
      <c r="A61" s="22">
        <v>7700.0</v>
      </c>
      <c r="B61" s="22">
        <v>572.0</v>
      </c>
      <c r="C61" s="22">
        <v>0.461</v>
      </c>
    </row>
    <row r="62">
      <c r="A62" s="22">
        <v>8800.0</v>
      </c>
      <c r="B62" s="22">
        <v>571.0</v>
      </c>
      <c r="C62" s="22">
        <v>0.46</v>
      </c>
    </row>
    <row r="63">
      <c r="A63" s="22">
        <v>9900.0</v>
      </c>
      <c r="B63" s="22">
        <v>567.0</v>
      </c>
      <c r="C63" s="22">
        <v>0.457</v>
      </c>
    </row>
    <row r="64">
      <c r="A64" s="21"/>
      <c r="B64" s="21"/>
      <c r="C64" s="21">
        <f>AVERAGE(C54:C63)</f>
        <v>0.469</v>
      </c>
      <c r="D64" s="4" t="s">
        <v>4</v>
      </c>
    </row>
    <row r="65">
      <c r="A65" s="21"/>
      <c r="B65" s="21"/>
      <c r="C65" s="21"/>
    </row>
  </sheetData>
  <drawing r:id="rId1"/>
</worksheet>
</file>